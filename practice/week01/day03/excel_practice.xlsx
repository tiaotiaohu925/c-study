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x\study\practice\week01\day03\"/>
    </mc:Choice>
  </mc:AlternateContent>
  <xr:revisionPtr revIDLastSave="0" documentId="13_ncr:1_{B6F2E1CF-4D6D-4A7D-BD0A-EE35AEC4713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2" sheetId="3" r:id="rId1"/>
    <sheet name="订单数据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7" i="1"/>
  <c r="G5" i="1"/>
  <c r="G6" i="1"/>
  <c r="D10" i="1"/>
</calcChain>
</file>

<file path=xl/sharedStrings.xml><?xml version="1.0" encoding="utf-8"?>
<sst xmlns="http://schemas.openxmlformats.org/spreadsheetml/2006/main" count="36" uniqueCount="18">
  <si>
    <t>customer</t>
  </si>
  <si>
    <t>city</t>
  </si>
  <si>
    <t>amount</t>
  </si>
  <si>
    <t>status</t>
  </si>
  <si>
    <t>张三</t>
  </si>
  <si>
    <t>上海</t>
  </si>
  <si>
    <t>paid</t>
  </si>
  <si>
    <t>李四</t>
  </si>
  <si>
    <t>北京</t>
  </si>
  <si>
    <t>王五</t>
  </si>
  <si>
    <t>refunded</t>
  </si>
  <si>
    <t>赵六</t>
  </si>
  <si>
    <t>孙七</t>
  </si>
  <si>
    <t>深圳</t>
  </si>
  <si>
    <t>周八</t>
  </si>
  <si>
    <t>行标签</t>
  </si>
  <si>
    <t>总计</t>
  </si>
  <si>
    <t>求和项:amount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</si>
</sst>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跳跳虎武大郎打" refreshedDate="46310.875209375001" createdVersion="8" refreshedVersion="8" minRefreshableVersion="3" recordCount="6" xr:uid="{454124B6-DD78-4DF5-96C3-B1CF008052F9}">
  <cacheSource type="worksheet">
    <worksheetSource ref="A1:D7" sheet="订单数据"/>
  </cacheSource>
  <cacheFields count="4">
    <cacheField name="customer" numFmtId="0">
      <sharedItems/>
    </cacheField>
    <cacheField name="city" numFmtId="0">
      <sharedItems count="3">
        <s v="上海"/>
        <s v="北京"/>
        <s v="深圳"/>
      </sharedItems>
    </cacheField>
    <cacheField name="amount" numFmtId="0">
      <sharedItems containsSemiMixedTypes="0" containsString="0" containsNumber="1" containsInteger="1" minValue="80" maxValue="300"/>
    </cacheField>
    <cacheField name="status" numFmtId="0">
      <sharedItems count="2">
        <s v="paid"/>
        <s v="refund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张三"/>
    <x v="0"/>
    <n v="120"/>
    <x v="0"/>
  </r>
  <r>
    <s v="李四"/>
    <x v="1"/>
    <n v="80"/>
    <x v="0"/>
  </r>
  <r>
    <s v="王五"/>
    <x v="0"/>
    <n v="200"/>
    <x v="1"/>
  </r>
  <r>
    <s v="赵六"/>
    <x v="0"/>
    <n v="150"/>
    <x v="0"/>
  </r>
  <r>
    <s v="孙七"/>
    <x v="2"/>
    <n v="90"/>
    <x v="0"/>
  </r>
  <r>
    <s v="周八"/>
    <x v="1"/>
    <n v="3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D4976-7845-4D85-B70C-4C458D8858F3}" name="数据透视表7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4"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" item="0" hier="-1"/>
  </pageFields>
  <dataFields count="1">
    <dataField name="求和项: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6EB9-E748-4DFF-AE7A-9DB63D5D0CCF}">
  <dimension ref="A1:B7"/>
  <sheetViews>
    <sheetView workbookViewId="0">
      <selection activeCell="A3" sqref="A3"/>
    </sheetView>
  </sheetViews>
  <sheetFormatPr defaultRowHeight="14.5" x14ac:dyDescent="0.35"/>
  <cols>
    <col min="1" max="1" width="9.54296875" bestFit="1" customWidth="1"/>
    <col min="2" max="2" width="14.81640625" bestFit="1" customWidth="1"/>
  </cols>
  <sheetData>
    <row r="1" spans="1:2" x14ac:dyDescent="0.35">
      <c r="A1" s="1" t="s">
        <v>3</v>
      </c>
      <c r="B1" t="s">
        <v>6</v>
      </c>
    </row>
    <row r="3" spans="1:2" x14ac:dyDescent="0.35">
      <c r="A3" s="1" t="s">
        <v>15</v>
      </c>
      <c r="B3" t="s">
        <v>17</v>
      </c>
    </row>
    <row r="4" spans="1:2" x14ac:dyDescent="0.35">
      <c r="A4" s="2" t="s">
        <v>8</v>
      </c>
      <c r="B4">
        <v>380</v>
      </c>
    </row>
    <row r="5" spans="1:2" x14ac:dyDescent="0.35">
      <c r="A5" s="2" t="s">
        <v>5</v>
      </c>
      <c r="B5">
        <v>270</v>
      </c>
    </row>
    <row r="6" spans="1:2" x14ac:dyDescent="0.35">
      <c r="A6" s="2" t="s">
        <v>13</v>
      </c>
      <c r="B6">
        <v>90</v>
      </c>
    </row>
    <row r="7" spans="1:2" x14ac:dyDescent="0.35">
      <c r="A7" s="2" t="s">
        <v>16</v>
      </c>
      <c r="B7">
        <v>740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2" sqref="G2"/>
    </sheetView>
  </sheetViews>
  <sheetFormatPr defaultRowHeight="14.5" x14ac:dyDescent="0.35"/>
  <cols>
    <col min="1" max="1" width="9.54296875" bestFit="1" customWidth="1"/>
    <col min="2" max="2" width="10.90625" bestFit="1" customWidth="1"/>
    <col min="3" max="3" width="10" customWidth="1"/>
    <col min="4" max="4" width="12" customWidth="1"/>
    <col min="9" max="9" width="12.81640625" bestFit="1" customWidth="1"/>
    <col min="10" max="10" width="14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</row>
    <row r="2" spans="1:7" ht="11.5" customHeight="1" x14ac:dyDescent="0.35">
      <c r="A2" t="s">
        <v>4</v>
      </c>
      <c r="B2" t="s">
        <v>5</v>
      </c>
      <c r="C2">
        <v>120</v>
      </c>
      <c r="D2" t="s">
        <v>6</v>
      </c>
      <c r="F2" t="s">
        <v>4</v>
      </c>
      <c r="G2" t="str">
        <f>_xlfn.XLOOKUP(F2,A:A,B:B)</f>
        <v>上海</v>
      </c>
    </row>
    <row r="3" spans="1:7" x14ac:dyDescent="0.35">
      <c r="A3" t="s">
        <v>7</v>
      </c>
      <c r="B3" t="s">
        <v>8</v>
      </c>
      <c r="C3">
        <v>80</v>
      </c>
      <c r="D3" t="s">
        <v>6</v>
      </c>
      <c r="F3" t="s">
        <v>7</v>
      </c>
      <c r="G3" t="str">
        <f>_xlfn.XLOOKUP(F3,A:A,B:B)</f>
        <v>北京</v>
      </c>
    </row>
    <row r="4" spans="1:7" x14ac:dyDescent="0.35">
      <c r="A4" t="s">
        <v>9</v>
      </c>
      <c r="B4" t="s">
        <v>5</v>
      </c>
      <c r="C4">
        <v>200</v>
      </c>
      <c r="D4" t="s">
        <v>10</v>
      </c>
      <c r="F4" t="s">
        <v>9</v>
      </c>
      <c r="G4" t="str">
        <f>_xlfn.XLOOKUP(F4,A:A,B:B)</f>
        <v>上海</v>
      </c>
    </row>
    <row r="5" spans="1:7" x14ac:dyDescent="0.35">
      <c r="A5" t="s">
        <v>11</v>
      </c>
      <c r="B5" t="s">
        <v>5</v>
      </c>
      <c r="C5">
        <v>150</v>
      </c>
      <c r="D5" t="s">
        <v>6</v>
      </c>
      <c r="F5" t="s">
        <v>11</v>
      </c>
      <c r="G5" t="str">
        <f>_xlfn.XLOOKUP(F5,A:A,B:B)</f>
        <v>上海</v>
      </c>
    </row>
    <row r="6" spans="1:7" x14ac:dyDescent="0.35">
      <c r="A6" t="s">
        <v>12</v>
      </c>
      <c r="B6" t="s">
        <v>13</v>
      </c>
      <c r="C6">
        <v>90</v>
      </c>
      <c r="D6" t="s">
        <v>6</v>
      </c>
      <c r="F6" t="s">
        <v>12</v>
      </c>
      <c r="G6" t="str">
        <f>_xlfn.XLOOKUP(F6,A:A,B:B)</f>
        <v>深圳</v>
      </c>
    </row>
    <row r="7" spans="1:7" x14ac:dyDescent="0.35">
      <c r="A7" t="s">
        <v>14</v>
      </c>
      <c r="B7" t="s">
        <v>8</v>
      </c>
      <c r="C7">
        <v>300</v>
      </c>
      <c r="D7" t="s">
        <v>6</v>
      </c>
      <c r="F7" t="s">
        <v>14</v>
      </c>
      <c r="G7" t="str">
        <f>_xlfn.XLOOKUP(F7,A:A,B:B)</f>
        <v>北京</v>
      </c>
    </row>
    <row r="10" spans="1:7" x14ac:dyDescent="0.35">
      <c r="D10" s="3">
        <f>SUMIF($D$2:$D$7,"paid",$C$2:$C$7)</f>
        <v>740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订单数据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 武大郎打跳跳虎</cp:lastModifiedBy>
  <dcterms:modified xsi:type="dcterms:W3CDTF">2026-10-15T13:07:42Z</dcterms:modified>
</cp:coreProperties>
</file>
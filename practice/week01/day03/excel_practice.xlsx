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Codex\study\practice\week01\day03\"/>
    </mc:Choice>
  </mc:AlternateContent>
  <xr:revisionPtr revIDLastSave="0" documentId="13_ncr:1_{A432636C-C6E9-4FF7-A0BA-96483B7B453F}" xr6:coauthVersionLast="47" xr6:coauthVersionMax="47" xr10:uidLastSave="{00000000-0000-0000-0000-000000000000}"/>
  <bookViews>
    <workbookView xWindow="-90" yWindow="0" windowWidth="12980" windowHeight="15370" xr2:uid="{00000000-000D-0000-FFFF-FFFF00000000}"/>
  </bookViews>
  <sheets>
    <sheet name="订单数据" sheetId="1" r:id="rId1"/>
  </sheets>
  <calcPr calcId="191029"/>
  <pivotCaches>
    <pivotCache cacheId="3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B17" i="1"/>
  <c r="B18" i="1"/>
  <c r="B19" i="1"/>
  <c r="B20" i="1"/>
  <c r="B21" i="1"/>
  <c r="B16" i="1"/>
</calcChain>
</file>

<file path=xl/sharedStrings.xml><?xml version="1.0" encoding="utf-8"?>
<sst xmlns="http://schemas.openxmlformats.org/spreadsheetml/2006/main" count="34" uniqueCount="18">
  <si>
    <t>customer</t>
  </si>
  <si>
    <t>city</t>
  </si>
  <si>
    <t>amount</t>
  </si>
  <si>
    <t>status</t>
  </si>
  <si>
    <t>张三</t>
  </si>
  <si>
    <t>上海</t>
  </si>
  <si>
    <t>paid</t>
  </si>
  <si>
    <t>李四</t>
  </si>
  <si>
    <t>北京</t>
  </si>
  <si>
    <t>王五</t>
  </si>
  <si>
    <t>refunded</t>
  </si>
  <si>
    <t>赵六</t>
  </si>
  <si>
    <t>孙七</t>
  </si>
  <si>
    <t>深圳</t>
  </si>
  <si>
    <t>周八</t>
  </si>
  <si>
    <t>行标签</t>
  </si>
  <si>
    <t>总计</t>
  </si>
  <si>
    <t>求和项:amount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</si>
</sst>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跳跳虎武大郎打" refreshedDate="46309.934118865742" createdVersion="8" refreshedVersion="8" minRefreshableVersion="3" recordCount="6" xr:uid="{3C88854E-3BFB-4E69-869E-75938914C496}">
  <cacheSource type="worksheet">
    <worksheetSource ref="A1:D7" sheet="订单数据"/>
  </cacheSource>
  <cacheFields count="4">
    <cacheField name="customer" numFmtId="0">
      <sharedItems/>
    </cacheField>
    <cacheField name="city" numFmtId="0">
      <sharedItems count="3">
        <s v="上海"/>
        <s v="北京"/>
        <s v="深圳"/>
      </sharedItems>
    </cacheField>
    <cacheField name="amount" numFmtId="0">
      <sharedItems containsSemiMixedTypes="0" containsString="0" containsNumber="1" containsInteger="1" minValue="80" maxValue="300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张三"/>
    <x v="0"/>
    <n v="120"/>
    <s v="paid"/>
  </r>
  <r>
    <s v="李四"/>
    <x v="1"/>
    <n v="80"/>
    <s v="paid"/>
  </r>
  <r>
    <s v="王五"/>
    <x v="0"/>
    <n v="200"/>
    <s v="refunded"/>
  </r>
  <r>
    <s v="赵六"/>
    <x v="0"/>
    <n v="150"/>
    <s v="paid"/>
  </r>
  <r>
    <s v="孙七"/>
    <x v="2"/>
    <n v="90"/>
    <s v="paid"/>
  </r>
  <r>
    <s v="周八"/>
    <x v="1"/>
    <n v="300"/>
    <s v="pa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1CCDB-B153-4740-A051-C36E9426ABC5}" name="数据透视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10:B14" firstHeaderRow="1" firstDataRow="1" firstDataCol="1"/>
  <pivotFields count="4">
    <pivotField showAll="0"/>
    <pivotField axis="axisRow" showAll="0">
      <items count="4">
        <item x="1"/>
        <item x="0"/>
        <item x="2"/>
        <item t="default"/>
      </items>
    </pivotField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am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workbookViewId="0">
      <selection activeCell="D10" sqref="D10"/>
    </sheetView>
  </sheetViews>
  <sheetFormatPr defaultRowHeight="14" x14ac:dyDescent="0.35"/>
  <cols>
    <col min="1" max="1" width="9.54296875" bestFit="1" customWidth="1"/>
    <col min="2" max="2" width="14.81640625" bestFit="1" customWidth="1"/>
    <col min="3" max="3" width="10" customWidth="1"/>
    <col min="4" max="4" width="12" customWidth="1"/>
  </cols>
  <sheetData>
    <row r="1" spans="1:4" ht="14.5" x14ac:dyDescent="0.35">
      <c r="A1" t="s">
        <v>0</v>
      </c>
      <c r="B1" t="s">
        <v>1</v>
      </c>
      <c r="C1" t="s">
        <v>2</v>
      </c>
      <c r="D1" t="s">
        <v>3</v>
      </c>
    </row>
    <row r="2" spans="1:4" ht="14.5" x14ac:dyDescent="0.35">
      <c r="A2" t="s">
        <v>4</v>
      </c>
      <c r="B2" t="s">
        <v>5</v>
      </c>
      <c r="C2">
        <v>120</v>
      </c>
      <c r="D2" t="s">
        <v>6</v>
      </c>
    </row>
    <row r="3" spans="1:4" ht="14.5" x14ac:dyDescent="0.35">
      <c r="A3" t="s">
        <v>7</v>
      </c>
      <c r="B3" t="s">
        <v>8</v>
      </c>
      <c r="C3">
        <v>80</v>
      </c>
      <c r="D3" t="s">
        <v>6</v>
      </c>
    </row>
    <row r="4" spans="1:4" ht="14.5" x14ac:dyDescent="0.35">
      <c r="A4" t="s">
        <v>9</v>
      </c>
      <c r="B4" t="s">
        <v>5</v>
      </c>
      <c r="C4">
        <v>200</v>
      </c>
      <c r="D4" t="s">
        <v>10</v>
      </c>
    </row>
    <row r="5" spans="1:4" ht="14.5" x14ac:dyDescent="0.35">
      <c r="A5" t="s">
        <v>11</v>
      </c>
      <c r="B5" t="s">
        <v>5</v>
      </c>
      <c r="C5">
        <v>150</v>
      </c>
      <c r="D5" t="s">
        <v>6</v>
      </c>
    </row>
    <row r="6" spans="1:4" ht="14.5" x14ac:dyDescent="0.35">
      <c r="A6" t="s">
        <v>12</v>
      </c>
      <c r="B6" t="s">
        <v>13</v>
      </c>
      <c r="C6">
        <v>90</v>
      </c>
      <c r="D6" t="s">
        <v>6</v>
      </c>
    </row>
    <row r="7" spans="1:4" ht="14.5" x14ac:dyDescent="0.35">
      <c r="A7" t="s">
        <v>14</v>
      </c>
      <c r="B7" t="s">
        <v>8</v>
      </c>
      <c r="C7">
        <v>300</v>
      </c>
      <c r="D7" t="s">
        <v>6</v>
      </c>
    </row>
    <row r="10" spans="1:4" x14ac:dyDescent="0.35">
      <c r="A10" s="1" t="s">
        <v>15</v>
      </c>
      <c r="B10" t="s">
        <v>17</v>
      </c>
      <c r="D10">
        <f>SUMIF($D$2:$D$7,"paid",$C$2:$C$7)</f>
        <v>740</v>
      </c>
    </row>
    <row r="11" spans="1:4" x14ac:dyDescent="0.35">
      <c r="A11" s="2" t="s">
        <v>8</v>
      </c>
      <c r="B11" s="3">
        <v>380</v>
      </c>
    </row>
    <row r="12" spans="1:4" x14ac:dyDescent="0.35">
      <c r="A12" s="2" t="s">
        <v>5</v>
      </c>
      <c r="B12" s="3">
        <v>470</v>
      </c>
    </row>
    <row r="13" spans="1:4" x14ac:dyDescent="0.35">
      <c r="A13" s="2" t="s">
        <v>13</v>
      </c>
      <c r="B13" s="3">
        <v>90</v>
      </c>
    </row>
    <row r="14" spans="1:4" x14ac:dyDescent="0.35">
      <c r="A14" s="2" t="s">
        <v>16</v>
      </c>
      <c r="B14" s="3">
        <v>940</v>
      </c>
    </row>
    <row r="16" spans="1:4" x14ac:dyDescent="0.35">
      <c r="A16" t="s">
        <v>4</v>
      </c>
      <c r="B16" t="str">
        <f>VLOOKUP(A2,$A$2:$D$7,2,FALSE)</f>
        <v>上海</v>
      </c>
    </row>
    <row r="17" spans="1:2" x14ac:dyDescent="0.35">
      <c r="A17" t="s">
        <v>7</v>
      </c>
      <c r="B17" t="str">
        <f t="shared" ref="B17:B21" si="0">VLOOKUP(A3,$A$2:$D$7,2,FALSE)</f>
        <v>北京</v>
      </c>
    </row>
    <row r="18" spans="1:2" x14ac:dyDescent="0.35">
      <c r="A18" t="s">
        <v>9</v>
      </c>
      <c r="B18" t="str">
        <f t="shared" si="0"/>
        <v>上海</v>
      </c>
    </row>
    <row r="19" spans="1:2" x14ac:dyDescent="0.35">
      <c r="A19" t="s">
        <v>11</v>
      </c>
      <c r="B19" t="str">
        <f t="shared" si="0"/>
        <v>上海</v>
      </c>
    </row>
    <row r="20" spans="1:2" x14ac:dyDescent="0.35">
      <c r="A20" t="s">
        <v>12</v>
      </c>
      <c r="B20" t="str">
        <f t="shared" si="0"/>
        <v>深圳</v>
      </c>
    </row>
    <row r="21" spans="1:2" x14ac:dyDescent="0.35">
      <c r="A21" t="s">
        <v>14</v>
      </c>
      <c r="B21" t="str">
        <f t="shared" si="0"/>
        <v>北京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订单数据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武大郎打跳跳虎</cp:lastModifiedBy>
  <dcterms:modified xsi:type="dcterms:W3CDTF">2026-10-14T14:39:56Z</dcterms:modified>
</cp:coreProperties>
</file>